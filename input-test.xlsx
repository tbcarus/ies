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83242AF3-D301-4AE9-87EE-9C5C3425C93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  <sheet name="Switch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M2" i="1"/>
  <c r="C2" i="1" l="1"/>
  <c r="N2" i="1" s="1"/>
  <c r="D2" i="1" s="1"/>
  <c r="Y2" i="1" s="1"/>
  <c r="X2" i="1"/>
  <c r="V2" i="1" l="1"/>
  <c r="E2" i="1" l="1"/>
  <c r="F2" i="1" s="1"/>
  <c r="G2" i="1" s="1"/>
  <c r="W2" i="1" l="1"/>
  <c r="H2" i="1" s="1"/>
  <c r="I2" i="1" l="1"/>
  <c r="J2" i="1" s="1"/>
  <c r="K2" i="1" s="1"/>
  <c r="S2" i="1" s="1"/>
  <c r="T2" i="1" s="1"/>
  <c r="U2" i="1" s="1"/>
</calcChain>
</file>

<file path=xl/sharedStrings.xml><?xml version="1.0" encoding="utf-8"?>
<sst xmlns="http://schemas.openxmlformats.org/spreadsheetml/2006/main" count="78" uniqueCount="69">
  <si>
    <t>Aveline</t>
  </si>
  <si>
    <t>Spot</t>
  </si>
  <si>
    <t>Medium</t>
  </si>
  <si>
    <t>Elliptical</t>
  </si>
  <si>
    <t>Flood</t>
  </si>
  <si>
    <t>Road</t>
  </si>
  <si>
    <t>P</t>
  </si>
  <si>
    <t>NLED</t>
  </si>
  <si>
    <t>FLED</t>
  </si>
  <si>
    <t>CCT</t>
  </si>
  <si>
    <t>Art</t>
  </si>
  <si>
    <t>Name</t>
  </si>
  <si>
    <t>Version</t>
  </si>
  <si>
    <t>Wide</t>
  </si>
  <si>
    <t>H=3000</t>
  </si>
  <si>
    <t>H=4500</t>
  </si>
  <si>
    <t>H=6000</t>
  </si>
  <si>
    <t>Optics</t>
  </si>
  <si>
    <t>Street</t>
  </si>
  <si>
    <t>Yard</t>
  </si>
  <si>
    <t>Diffuse</t>
  </si>
  <si>
    <t>F</t>
  </si>
  <si>
    <t>DALI</t>
  </si>
  <si>
    <t>More1</t>
  </si>
  <si>
    <t>More2</t>
  </si>
  <si>
    <t>More3</t>
  </si>
  <si>
    <t>сквоз. провод</t>
  </si>
  <si>
    <t>IES</t>
  </si>
  <si>
    <t>Height</t>
  </si>
  <si>
    <t>Length</t>
  </si>
  <si>
    <t>Width</t>
  </si>
  <si>
    <t>dP</t>
  </si>
  <si>
    <t>dA</t>
  </si>
  <si>
    <t>ROT</t>
  </si>
  <si>
    <t>DMX-RDM</t>
  </si>
  <si>
    <t>P866654</t>
  </si>
  <si>
    <t>P866654 Светильник Bell New Г-образный 14Вт Street H=3000</t>
  </si>
  <si>
    <t>Aveline RGBW</t>
  </si>
  <si>
    <t>Bell New</t>
  </si>
  <si>
    <t>Г-образный</t>
  </si>
  <si>
    <t>Т-образный</t>
  </si>
  <si>
    <t>SuperSpot</t>
  </si>
  <si>
    <t>Asymmetrical</t>
  </si>
  <si>
    <t>Elliptical wide</t>
  </si>
  <si>
    <t>Aveplane</t>
  </si>
  <si>
    <t>Bicubo</t>
  </si>
  <si>
    <t>Modulo</t>
  </si>
  <si>
    <t>Osio Line</t>
  </si>
  <si>
    <t>5 DEG</t>
  </si>
  <si>
    <t>Aveplane TW</t>
  </si>
  <si>
    <t>Aveplane RGBW</t>
  </si>
  <si>
    <t>SW</t>
  </si>
  <si>
    <t>Stralis 45</t>
  </si>
  <si>
    <t>Stralis 70</t>
  </si>
  <si>
    <t>Stralis 125</t>
  </si>
  <si>
    <t>TRASH</t>
  </si>
  <si>
    <t>AC-DC</t>
  </si>
  <si>
    <t>Stralis 70 RGBW</t>
  </si>
  <si>
    <t>Stralis 125 RGBW</t>
  </si>
  <si>
    <t>RGBW</t>
  </si>
  <si>
    <t>DMX</t>
  </si>
  <si>
    <t>выход питания к фасаду</t>
  </si>
  <si>
    <t>Osio Line RGBW</t>
  </si>
  <si>
    <t>Aveplane Mini</t>
  </si>
  <si>
    <t>3000K</t>
  </si>
  <si>
    <t>More4</t>
  </si>
  <si>
    <t>More5</t>
  </si>
  <si>
    <t>More6</t>
  </si>
  <si>
    <t>Giulius Asym DOWN.ies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</si>
</sst>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0" fillId="6" borderId="0" xfId="0" applyFill="1"/>
    <xf numFmtId="0" fontId="0" fillId="7" borderId="0" xfId="0" applyFill="1"/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B1" zoomScale="85" zoomScaleNormal="85" workbookViewId="0">
      <pane ySplit="1" topLeftCell="A2" activePane="bottomLeft" state="frozen"/>
      <selection pane="bottomLeft" activeCell="P19" sqref="P19"/>
    </sheetView>
  </sheetViews>
  <sheetFormatPr defaultRowHeight="15" x14ac:dyDescent="0.25"/>
  <cols>
    <col min="1" max="1" width="13.7109375" bestFit="1" customWidth="1"/>
    <col min="2" max="2" width="60.42578125" bestFit="1" customWidth="1"/>
    <col min="3" max="3" width="34.42578125" hidden="1" customWidth="1"/>
    <col min="4" max="4" width="29.85546875" hidden="1" customWidth="1"/>
    <col min="5" max="5" width="20.42578125" hidden="1" customWidth="1"/>
    <col min="6" max="7" width="10.7109375" hidden="1" customWidth="1"/>
    <col min="8" max="8" width="6" hidden="1" customWidth="1"/>
    <col min="9" max="9" width="6.140625" hidden="1" customWidth="1"/>
    <col min="10" max="11" width="4.140625" hidden="1" customWidth="1"/>
    <col min="12" max="12" width="15.140625" customWidth="1"/>
    <col min="13" max="13" width="22.28515625" customWidth="1"/>
    <col min="14" max="14" width="11.7109375" bestFit="1" customWidth="1"/>
    <col min="16" max="16" width="30.140625" customWidth="1"/>
    <col min="19" max="19" width="9.140625" style="6"/>
    <col min="22" max="22" width="20.7109375" customWidth="1"/>
  </cols>
  <sheetData>
    <row r="1" spans="1:31" x14ac:dyDescent="0.25">
      <c r="A1" s="7"/>
      <c r="B1" s="7"/>
      <c r="C1" s="3"/>
      <c r="D1" s="3"/>
      <c r="E1" s="3"/>
      <c r="F1" s="3"/>
      <c r="G1" s="3"/>
      <c r="H1" s="3"/>
      <c r="I1" s="3"/>
      <c r="J1" s="3"/>
      <c r="K1" s="3"/>
      <c r="L1" s="2" t="s">
        <v>10</v>
      </c>
      <c r="M1" s="2" t="s">
        <v>11</v>
      </c>
      <c r="N1" s="2" t="s">
        <v>12</v>
      </c>
      <c r="O1" s="2" t="s">
        <v>17</v>
      </c>
      <c r="P1" s="2" t="s">
        <v>27</v>
      </c>
      <c r="Q1" s="4" t="s">
        <v>9</v>
      </c>
      <c r="R1" s="4" t="s">
        <v>7</v>
      </c>
      <c r="S1" s="5" t="s">
        <v>6</v>
      </c>
      <c r="T1" s="4" t="s">
        <v>8</v>
      </c>
      <c r="U1" s="2" t="s">
        <v>21</v>
      </c>
      <c r="V1" s="2" t="s">
        <v>23</v>
      </c>
      <c r="W1" s="2" t="s">
        <v>24</v>
      </c>
      <c r="X1" s="2" t="s">
        <v>25</v>
      </c>
      <c r="Y1" s="2" t="s">
        <v>65</v>
      </c>
      <c r="Z1" s="4" t="s">
        <v>28</v>
      </c>
      <c r="AA1" s="4" t="s">
        <v>29</v>
      </c>
      <c r="AB1" s="4" t="s">
        <v>30</v>
      </c>
      <c r="AC1" s="4" t="s">
        <v>31</v>
      </c>
      <c r="AD1" s="4" t="s">
        <v>32</v>
      </c>
      <c r="AE1" s="4" t="s">
        <v>33</v>
      </c>
    </row>
    <row r="2" spans="1:31" x14ac:dyDescent="0.25">
      <c r="A2" s="1" t="s">
        <v>35</v>
      </c>
      <c r="B2" s="1" t="s">
        <v>36</v>
      </c>
      <c r="C2" t="str">
        <f>TRIM(MID(B2,SEARCH(M2,B2)+LEN(M2)+1,500))</f>
        <v>Г-образный 14Вт Street H=3000</v>
      </c>
      <c r="D2" t="str">
        <f t="shared" ref="D2:E2" si="0">TRIM(REPLACE(C2,SEARCH(N2,C2),LEN(N2),""))</f>
        <v>14Вт Street H=3000</v>
      </c>
      <c r="E2" t="str">
        <f t="shared" si="0"/>
        <v>14Вт H=3000</v>
      </c>
      <c r="F2" t="str">
        <f>TRIM(REPLACE(E2,SEARCH(V2,E2),LEN(V2),""))</f>
        <v>14Вт H=3000</v>
      </c>
      <c r="G2" t="str">
        <f>TRIM(REPLACE(F2,SEARCH(Y2,F2),LEN(Y2),""))</f>
        <v>14Вт H=3000</v>
      </c>
      <c r="H2" t="str">
        <f>TRIM(REPLACE(G2,SEARCH(W2,G2),LEN(W2),""))</f>
        <v>14Вт</v>
      </c>
      <c r="I2" t="str">
        <f>IFERROR(REPLACE(H2,SEARCH("W",H2),1,"Вт"), H2)</f>
        <v>14Вт</v>
      </c>
      <c r="J2" t="str">
        <f>IFERROR(REPLACE(I2,SEARCH("Вт",I2),2,""), I2)</f>
        <v>14</v>
      </c>
      <c r="K2" t="str">
        <f>IFERROR(2*REPLACE(J2,1,SEARCH("х",J2),""), J2)</f>
        <v>14</v>
      </c>
      <c r="M2" t="str">
        <f>LOOKUP(,-SEARCH(" "&amp;Switches!$A$2:'Switches'!$A$1000&amp;" "," "&amp;TRIM(B2)&amp;" "),Switches!$A$2:'Switches'!$A$1000)</f>
        <v>Bell New</v>
      </c>
      <c r="N2" t="str">
        <f>IFERROR(LOOKUP(,-SEARCH(" "&amp;Switches!$B$2:'Switches'!$B$1000&amp;" "," "&amp;C2&amp;" "),Switches!$B$2:'Switches'!$B$1000), "")</f>
        <v>Г-образный</v>
      </c>
      <c r="O2" t="str">
        <f>LOOKUP(,-SEARCH(" "&amp;Switches!$C$2:'Switches'!$C$1000&amp;" "," "&amp;TRIM(B2)&amp;" "),Switches!$C$2:'Switches'!$C$1000)</f>
        <v>Street</v>
      </c>
      <c r="P2" t="s">
        <v>68</v>
      </c>
      <c r="Q2" t="s">
        <v>64</v>
      </c>
      <c r="R2">
        <v>12</v>
      </c>
      <c r="S2" s="6" t="str">
        <f>K2</f>
        <v>14</v>
      </c>
      <c r="T2">
        <f>IF(S2="14",108,217)</f>
        <v>108</v>
      </c>
      <c r="U2">
        <f>R2*T2</f>
        <v>1296</v>
      </c>
      <c r="V2" t="str">
        <f>IF(ISTEXT(LOOKUP(,-SEARCH(" "&amp;Switches!$K$2:'Switches'!$K$60&amp;" "," "&amp;D2&amp;" "),Switches!$K$2:'Switches'!$K$60)), LOOKUP(,-SEARCH(" "&amp;Switches!$K$2:'Switches'!$K$60&amp;" "," "&amp;D2&amp;" "),Switches!$K$2:'Switches'!$K$60),"")</f>
        <v/>
      </c>
      <c r="W2" t="str">
        <f>IFERROR(LOOKUP(,-SEARCH(" "&amp;Switches!$L$2:'Switches'!$L$1000&amp;" "," "&amp;F2&amp;" "),Switches!$L$2:'Switches'!$L$1000),"")</f>
        <v>H=3000</v>
      </c>
      <c r="X2" t="str">
        <f>IFERROR(LOOKUP(,-SEARCH(" "&amp;Switches!$M$2:'Switches'!$M$1000&amp;" "," "&amp;M2&amp;" "),Switches!$M$2:'Switches'!$M$1000),"")</f>
        <v/>
      </c>
      <c r="Y2" t="str">
        <f>IFERROR(LOOKUP(,-SEARCH(" "&amp;Switches!$N$2:'Switches'!$N$1000&amp;" "," "&amp;D2&amp;" "),Switches!$N$2:'Switches'!$N$1000),"")</f>
        <v/>
      </c>
      <c r="Z2">
        <v>0.06</v>
      </c>
      <c r="AA2">
        <v>0.1</v>
      </c>
      <c r="AB2">
        <v>0.24</v>
      </c>
      <c r="AC2">
        <v>2</v>
      </c>
      <c r="AD2">
        <v>2</v>
      </c>
      <c r="AE2">
        <v>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>
      <selection activeCell="Q18" sqref="Q18"/>
    </sheetView>
  </sheetViews>
  <sheetFormatPr defaultRowHeight="15" x14ac:dyDescent="0.25"/>
  <cols>
    <col min="1" max="1" width="15.85546875" bestFit="1" customWidth="1"/>
    <col min="2" max="2" width="11.7109375" bestFit="1" customWidth="1"/>
    <col min="3" max="3" width="10.140625" bestFit="1" customWidth="1"/>
    <col min="11" max="11" width="10" bestFit="1" customWidth="1"/>
    <col min="14" max="14" width="13.7109375" bestFit="1" customWidth="1"/>
  </cols>
  <sheetData>
    <row r="1" spans="1:17" x14ac:dyDescent="0.25">
      <c r="A1" s="8" t="s">
        <v>11</v>
      </c>
      <c r="B1" s="8" t="s">
        <v>12</v>
      </c>
      <c r="C1" s="8" t="s">
        <v>17</v>
      </c>
      <c r="D1" s="8"/>
      <c r="E1" s="8"/>
      <c r="F1" s="8"/>
      <c r="G1" s="8"/>
      <c r="H1" s="8"/>
      <c r="I1" s="8"/>
      <c r="J1" s="8"/>
      <c r="K1" s="8" t="s">
        <v>23</v>
      </c>
      <c r="L1" s="8" t="s">
        <v>24</v>
      </c>
      <c r="M1" s="8" t="s">
        <v>25</v>
      </c>
      <c r="N1" s="8" t="s">
        <v>65</v>
      </c>
      <c r="O1" s="8" t="s">
        <v>66</v>
      </c>
      <c r="P1" s="8" t="s">
        <v>67</v>
      </c>
      <c r="Q1" s="8" t="s">
        <v>55</v>
      </c>
    </row>
    <row r="2" spans="1:17" x14ac:dyDescent="0.25">
      <c r="A2" t="s">
        <v>0</v>
      </c>
      <c r="B2">
        <v>310</v>
      </c>
      <c r="C2" t="s">
        <v>1</v>
      </c>
      <c r="K2" t="s">
        <v>22</v>
      </c>
      <c r="L2" t="s">
        <v>48</v>
      </c>
      <c r="M2" t="s">
        <v>59</v>
      </c>
      <c r="N2" t="s">
        <v>26</v>
      </c>
    </row>
    <row r="3" spans="1:17" x14ac:dyDescent="0.25">
      <c r="A3" t="s">
        <v>37</v>
      </c>
      <c r="B3">
        <v>610</v>
      </c>
      <c r="C3" t="s">
        <v>2</v>
      </c>
      <c r="K3" t="s">
        <v>60</v>
      </c>
      <c r="L3" t="s">
        <v>14</v>
      </c>
    </row>
    <row r="4" spans="1:17" x14ac:dyDescent="0.25">
      <c r="A4" t="s">
        <v>38</v>
      </c>
      <c r="B4">
        <v>910</v>
      </c>
      <c r="C4" t="s">
        <v>4</v>
      </c>
      <c r="K4" t="s">
        <v>34</v>
      </c>
      <c r="L4" t="s">
        <v>15</v>
      </c>
    </row>
    <row r="5" spans="1:17" x14ac:dyDescent="0.25">
      <c r="A5" t="s">
        <v>44</v>
      </c>
      <c r="B5">
        <v>1210</v>
      </c>
      <c r="C5" t="s">
        <v>13</v>
      </c>
      <c r="L5" t="s">
        <v>16</v>
      </c>
    </row>
    <row r="6" spans="1:17" x14ac:dyDescent="0.25">
      <c r="A6" t="s">
        <v>45</v>
      </c>
      <c r="B6">
        <v>1510</v>
      </c>
      <c r="C6" t="s">
        <v>3</v>
      </c>
      <c r="L6" t="s">
        <v>61</v>
      </c>
    </row>
    <row r="7" spans="1:17" x14ac:dyDescent="0.25">
      <c r="A7" t="s">
        <v>52</v>
      </c>
      <c r="B7" t="s">
        <v>39</v>
      </c>
      <c r="C7" t="s">
        <v>5</v>
      </c>
    </row>
    <row r="8" spans="1:17" x14ac:dyDescent="0.25">
      <c r="A8" t="s">
        <v>53</v>
      </c>
      <c r="B8" t="s">
        <v>40</v>
      </c>
      <c r="C8" t="s">
        <v>18</v>
      </c>
    </row>
    <row r="9" spans="1:17" x14ac:dyDescent="0.25">
      <c r="A9" t="s">
        <v>57</v>
      </c>
      <c r="C9" t="s">
        <v>19</v>
      </c>
      <c r="K9" t="s">
        <v>56</v>
      </c>
    </row>
    <row r="10" spans="1:17" x14ac:dyDescent="0.25">
      <c r="A10" t="s">
        <v>54</v>
      </c>
      <c r="B10" t="s">
        <v>51</v>
      </c>
      <c r="C10" t="s">
        <v>20</v>
      </c>
    </row>
    <row r="11" spans="1:17" x14ac:dyDescent="0.25">
      <c r="A11" t="s">
        <v>58</v>
      </c>
      <c r="B11" t="s">
        <v>59</v>
      </c>
      <c r="C11" t="s">
        <v>41</v>
      </c>
    </row>
    <row r="12" spans="1:17" x14ac:dyDescent="0.25">
      <c r="A12" t="s">
        <v>46</v>
      </c>
      <c r="B12">
        <v>408</v>
      </c>
      <c r="C12" t="s">
        <v>42</v>
      </c>
    </row>
    <row r="13" spans="1:17" x14ac:dyDescent="0.25">
      <c r="A13" t="s">
        <v>47</v>
      </c>
      <c r="B13">
        <v>708</v>
      </c>
      <c r="C13" t="s">
        <v>43</v>
      </c>
    </row>
    <row r="14" spans="1:17" x14ac:dyDescent="0.25">
      <c r="A14" t="s">
        <v>62</v>
      </c>
      <c r="B14">
        <v>1008</v>
      </c>
      <c r="C14" t="s">
        <v>46</v>
      </c>
    </row>
    <row r="15" spans="1:17" x14ac:dyDescent="0.25">
      <c r="A15" t="s">
        <v>49</v>
      </c>
      <c r="B15">
        <v>1308</v>
      </c>
    </row>
    <row r="16" spans="1:17" x14ac:dyDescent="0.25">
      <c r="A16" t="s">
        <v>50</v>
      </c>
      <c r="B16">
        <v>1608</v>
      </c>
    </row>
    <row r="17" spans="1:1" x14ac:dyDescent="0.25">
      <c r="A1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Switches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2025-03-19T14:57:40Z</dcterms:modified>
</cp:coreProperties>
</file>